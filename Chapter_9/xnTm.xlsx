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e\LyX-docs\Mathcad_CIS541\book\Chapter_10\"/>
    </mc:Choice>
  </mc:AlternateContent>
  <xr:revisionPtr revIDLastSave="0" documentId="13_ncr:1_{92464C8C-32CD-4A89-A5A4-412E91845590}" xr6:coauthVersionLast="47" xr6:coauthVersionMax="47" xr10:uidLastSave="{00000000-0000-0000-0000-000000000000}"/>
  <bookViews>
    <workbookView xWindow="6060" yWindow="735" windowWidth="21600" windowHeight="13170" xr2:uid="{6ACEA670-E4E6-43D1-9F82-4B1B8E218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1" l="1"/>
  <c r="E18" i="1"/>
  <c r="C18" i="1"/>
  <c r="E36" i="1"/>
  <c r="C36" i="1"/>
  <c r="G55" i="1"/>
  <c r="E55" i="1"/>
  <c r="C55" i="1"/>
  <c r="M34" i="1"/>
  <c r="L34" i="1"/>
  <c r="L33" i="1"/>
  <c r="K34" i="1"/>
  <c r="K33" i="1"/>
  <c r="K32" i="1"/>
  <c r="J34" i="1"/>
  <c r="J31" i="1"/>
  <c r="J33" i="1"/>
  <c r="J32" i="1"/>
  <c r="I34" i="1"/>
  <c r="I33" i="1"/>
  <c r="I32" i="1"/>
  <c r="I31" i="1"/>
  <c r="I30" i="1"/>
  <c r="H34" i="1"/>
  <c r="H33" i="1"/>
  <c r="H32" i="1"/>
  <c r="H31" i="1"/>
  <c r="H30" i="1"/>
  <c r="H29" i="1"/>
  <c r="G34" i="1"/>
  <c r="G33" i="1"/>
  <c r="G32" i="1"/>
  <c r="G31" i="1"/>
  <c r="G30" i="1"/>
  <c r="G29" i="1"/>
  <c r="G28" i="1"/>
  <c r="F34" i="1"/>
  <c r="F27" i="1"/>
  <c r="G36" i="1" s="1"/>
  <c r="F33" i="1"/>
  <c r="F32" i="1"/>
  <c r="F31" i="1"/>
  <c r="F30" i="1"/>
  <c r="F29" i="1"/>
  <c r="F28" i="1"/>
</calcChain>
</file>

<file path=xl/sharedStrings.xml><?xml version="1.0" encoding="utf-8"?>
<sst xmlns="http://schemas.openxmlformats.org/spreadsheetml/2006/main" count="82" uniqueCount="44">
  <si>
    <t>T0*</t>
  </si>
  <si>
    <t>x^0</t>
  </si>
  <si>
    <t>x^1</t>
  </si>
  <si>
    <t>T1*</t>
  </si>
  <si>
    <t>T2*</t>
  </si>
  <si>
    <t>T3*</t>
  </si>
  <si>
    <t>T4*</t>
  </si>
  <si>
    <t>T5*</t>
  </si>
  <si>
    <t>T6*</t>
  </si>
  <si>
    <t>T7*</t>
  </si>
  <si>
    <t>T8*</t>
  </si>
  <si>
    <t>T9*</t>
  </si>
  <si>
    <t>x^2</t>
  </si>
  <si>
    <t>x^3</t>
  </si>
  <si>
    <t>x^4</t>
  </si>
  <si>
    <t>x^5</t>
  </si>
  <si>
    <t>x^6</t>
  </si>
  <si>
    <t>x^7</t>
  </si>
  <si>
    <t>x^8</t>
  </si>
  <si>
    <t>x^9</t>
  </si>
  <si>
    <t>dT0*</t>
  </si>
  <si>
    <t>dT1*</t>
  </si>
  <si>
    <t>dT2*</t>
  </si>
  <si>
    <t>dT3*</t>
  </si>
  <si>
    <t>dT4*</t>
  </si>
  <si>
    <t>dT5*</t>
  </si>
  <si>
    <t>dT6*</t>
  </si>
  <si>
    <t>dT7*</t>
  </si>
  <si>
    <t>dT8*</t>
  </si>
  <si>
    <t>dT9*</t>
  </si>
  <si>
    <t>Expansion of shifted Chebyshev polynomials in monomials</t>
  </si>
  <si>
    <t>Expansion of derivatives of shifted Chebyshev polynomials in monomials</t>
  </si>
  <si>
    <t>Expansion of monomials in shifted Chebyshev polynomials</t>
  </si>
  <si>
    <t>divisor</t>
  </si>
  <si>
    <t>coefficients of Chebyshev polynomials</t>
  </si>
  <si>
    <t>example</t>
  </si>
  <si>
    <t>T0* +</t>
  </si>
  <si>
    <t>T1*+</t>
  </si>
  <si>
    <t>x^2 =</t>
  </si>
  <si>
    <t>coefficients of monomials</t>
  </si>
  <si>
    <t>dT2*=</t>
  </si>
  <si>
    <t>x^0+</t>
  </si>
  <si>
    <t>x^1+</t>
  </si>
  <si>
    <t>T2*=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</si>
</sst>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0744-BCF0-4A4C-BB38-2A50D2973156}">
  <dimension ref="A3:M55"/>
  <sheetViews>
    <sheetView tabSelected="1" workbookViewId="0">
      <selection activeCell="G19" sqref="G19"/>
    </sheetView>
  </sheetViews>
  <sheetFormatPr defaultRowHeight="15" x14ac:dyDescent="0.25"/>
  <sheetData>
    <row r="3" spans="1:13" x14ac:dyDescent="0.25">
      <c r="A3" t="s">
        <v>30</v>
      </c>
    </row>
    <row r="5" spans="1:13" x14ac:dyDescent="0.25">
      <c r="D5" t="s">
        <v>39</v>
      </c>
    </row>
    <row r="6" spans="1:13" x14ac:dyDescent="0.25">
      <c r="D6" t="s">
        <v>1</v>
      </c>
      <c r="E6" t="s">
        <v>2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C7" t="s">
        <v>0</v>
      </c>
      <c r="D7">
        <v>1</v>
      </c>
    </row>
    <row r="8" spans="1:13" x14ac:dyDescent="0.25">
      <c r="C8" t="s">
        <v>3</v>
      </c>
      <c r="D8">
        <v>-1</v>
      </c>
      <c r="E8">
        <v>2</v>
      </c>
    </row>
    <row r="9" spans="1:13" x14ac:dyDescent="0.25">
      <c r="C9" t="s">
        <v>4</v>
      </c>
      <c r="D9">
        <v>1</v>
      </c>
      <c r="E9">
        <v>-8</v>
      </c>
      <c r="F9">
        <v>8</v>
      </c>
    </row>
    <row r="10" spans="1:13" x14ac:dyDescent="0.25">
      <c r="C10" t="s">
        <v>5</v>
      </c>
      <c r="D10">
        <v>-1</v>
      </c>
      <c r="E10">
        <v>18</v>
      </c>
      <c r="F10">
        <v>-48</v>
      </c>
      <c r="G10">
        <v>32</v>
      </c>
    </row>
    <row r="11" spans="1:13" x14ac:dyDescent="0.25">
      <c r="C11" t="s">
        <v>6</v>
      </c>
      <c r="D11">
        <v>1</v>
      </c>
      <c r="E11">
        <v>-32</v>
      </c>
      <c r="F11">
        <v>160</v>
      </c>
      <c r="G11">
        <v>-256</v>
      </c>
      <c r="H11">
        <v>128</v>
      </c>
    </row>
    <row r="12" spans="1:13" x14ac:dyDescent="0.25">
      <c r="C12" t="s">
        <v>7</v>
      </c>
      <c r="D12">
        <v>-1</v>
      </c>
      <c r="E12">
        <v>50</v>
      </c>
      <c r="F12">
        <v>-400</v>
      </c>
      <c r="G12">
        <v>1120</v>
      </c>
      <c r="H12">
        <v>-1280</v>
      </c>
      <c r="I12">
        <v>512</v>
      </c>
    </row>
    <row r="13" spans="1:13" x14ac:dyDescent="0.25">
      <c r="C13" t="s">
        <v>8</v>
      </c>
      <c r="D13">
        <v>1</v>
      </c>
      <c r="E13">
        <v>-72</v>
      </c>
      <c r="F13">
        <v>840</v>
      </c>
      <c r="G13">
        <v>-3584</v>
      </c>
      <c r="H13">
        <v>6912</v>
      </c>
      <c r="I13">
        <v>-6144</v>
      </c>
      <c r="J13">
        <v>2048</v>
      </c>
    </row>
    <row r="14" spans="1:13" x14ac:dyDescent="0.25">
      <c r="C14" t="s">
        <v>9</v>
      </c>
      <c r="D14">
        <v>-1</v>
      </c>
      <c r="E14">
        <v>98</v>
      </c>
      <c r="F14">
        <v>-1568</v>
      </c>
      <c r="G14">
        <v>9408</v>
      </c>
      <c r="H14">
        <v>-26880</v>
      </c>
      <c r="I14">
        <v>39424</v>
      </c>
      <c r="J14">
        <v>-28672</v>
      </c>
      <c r="K14">
        <v>8192</v>
      </c>
    </row>
    <row r="15" spans="1:13" x14ac:dyDescent="0.25">
      <c r="C15" t="s">
        <v>10</v>
      </c>
      <c r="D15">
        <v>1</v>
      </c>
      <c r="E15">
        <v>-128</v>
      </c>
      <c r="F15">
        <v>2688</v>
      </c>
      <c r="G15">
        <v>-21504</v>
      </c>
      <c r="H15">
        <v>84480</v>
      </c>
      <c r="I15">
        <v>-180224</v>
      </c>
      <c r="J15">
        <v>212992</v>
      </c>
      <c r="K15">
        <v>-131072</v>
      </c>
      <c r="L15">
        <v>32768</v>
      </c>
    </row>
    <row r="16" spans="1:13" x14ac:dyDescent="0.25">
      <c r="C16" t="s">
        <v>11</v>
      </c>
      <c r="D16">
        <v>-1</v>
      </c>
      <c r="E16">
        <v>162</v>
      </c>
      <c r="F16">
        <v>-4320</v>
      </c>
      <c r="G16">
        <v>44352</v>
      </c>
      <c r="H16">
        <v>-228096</v>
      </c>
      <c r="I16">
        <v>658944</v>
      </c>
      <c r="J16">
        <v>-1118208</v>
      </c>
      <c r="K16">
        <v>1105920</v>
      </c>
      <c r="L16">
        <v>-589824</v>
      </c>
      <c r="M16">
        <v>131072</v>
      </c>
    </row>
    <row r="18" spans="1:13" x14ac:dyDescent="0.25">
      <c r="A18" t="s">
        <v>35</v>
      </c>
      <c r="B18" t="s">
        <v>43</v>
      </c>
      <c r="C18">
        <f>D9</f>
        <v>1</v>
      </c>
      <c r="D18" t="s">
        <v>41</v>
      </c>
      <c r="E18">
        <f>E9</f>
        <v>-8</v>
      </c>
      <c r="F18" t="s">
        <v>42</v>
      </c>
      <c r="G18">
        <f>F9</f>
        <v>8</v>
      </c>
      <c r="H18" t="s">
        <v>12</v>
      </c>
    </row>
    <row r="21" spans="1:13" x14ac:dyDescent="0.25">
      <c r="A21" t="s">
        <v>31</v>
      </c>
    </row>
    <row r="23" spans="1:13" x14ac:dyDescent="0.25">
      <c r="D23" t="s">
        <v>39</v>
      </c>
    </row>
    <row r="24" spans="1:13" x14ac:dyDescent="0.25">
      <c r="D24" t="s">
        <v>1</v>
      </c>
      <c r="E24" t="s">
        <v>2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  <c r="K24" t="s">
        <v>17</v>
      </c>
      <c r="L24" t="s">
        <v>18</v>
      </c>
      <c r="M24" t="s">
        <v>19</v>
      </c>
    </row>
    <row r="25" spans="1:13" x14ac:dyDescent="0.25">
      <c r="C25" t="s">
        <v>20</v>
      </c>
      <c r="D25">
        <v>0</v>
      </c>
    </row>
    <row r="26" spans="1:13" x14ac:dyDescent="0.25">
      <c r="C26" t="s">
        <v>21</v>
      </c>
      <c r="D26">
        <v>0</v>
      </c>
      <c r="E26">
        <v>2</v>
      </c>
    </row>
    <row r="27" spans="1:13" x14ac:dyDescent="0.25">
      <c r="C27" t="s">
        <v>22</v>
      </c>
      <c r="D27">
        <v>0</v>
      </c>
      <c r="E27">
        <v>-8</v>
      </c>
      <c r="F27">
        <f t="shared" ref="F27:F34" si="0">2*F9</f>
        <v>16</v>
      </c>
    </row>
    <row r="28" spans="1:13" x14ac:dyDescent="0.25">
      <c r="C28" t="s">
        <v>23</v>
      </c>
      <c r="D28">
        <v>0</v>
      </c>
      <c r="E28">
        <v>18</v>
      </c>
      <c r="F28">
        <f t="shared" si="0"/>
        <v>-96</v>
      </c>
      <c r="G28">
        <f>3*G10</f>
        <v>96</v>
      </c>
    </row>
    <row r="29" spans="1:13" x14ac:dyDescent="0.25">
      <c r="C29" t="s">
        <v>24</v>
      </c>
      <c r="D29">
        <v>0</v>
      </c>
      <c r="E29">
        <v>-32</v>
      </c>
      <c r="F29">
        <f t="shared" si="0"/>
        <v>320</v>
      </c>
      <c r="G29">
        <f t="shared" ref="G29:G33" si="1">3*G11</f>
        <v>-768</v>
      </c>
      <c r="H29">
        <f>4*H11</f>
        <v>512</v>
      </c>
    </row>
    <row r="30" spans="1:13" x14ac:dyDescent="0.25">
      <c r="C30" t="s">
        <v>25</v>
      </c>
      <c r="D30">
        <v>0</v>
      </c>
      <c r="E30">
        <v>50</v>
      </c>
      <c r="F30">
        <f t="shared" si="0"/>
        <v>-800</v>
      </c>
      <c r="G30">
        <f t="shared" si="1"/>
        <v>3360</v>
      </c>
      <c r="H30">
        <f t="shared" ref="H30:H33" si="2">4*H12</f>
        <v>-5120</v>
      </c>
      <c r="I30">
        <f>5*I12</f>
        <v>2560</v>
      </c>
    </row>
    <row r="31" spans="1:13" x14ac:dyDescent="0.25">
      <c r="C31" t="s">
        <v>26</v>
      </c>
      <c r="D31">
        <v>0</v>
      </c>
      <c r="E31">
        <v>-72</v>
      </c>
      <c r="F31">
        <f t="shared" si="0"/>
        <v>1680</v>
      </c>
      <c r="G31">
        <f t="shared" si="1"/>
        <v>-10752</v>
      </c>
      <c r="H31">
        <f t="shared" si="2"/>
        <v>27648</v>
      </c>
      <c r="I31">
        <f t="shared" ref="I31:I34" si="3">5*I13</f>
        <v>-30720</v>
      </c>
      <c r="J31">
        <f>6*J13</f>
        <v>12288</v>
      </c>
    </row>
    <row r="32" spans="1:13" x14ac:dyDescent="0.25">
      <c r="C32" t="s">
        <v>27</v>
      </c>
      <c r="D32">
        <v>0</v>
      </c>
      <c r="E32">
        <v>98</v>
      </c>
      <c r="F32">
        <f t="shared" si="0"/>
        <v>-3136</v>
      </c>
      <c r="G32">
        <f t="shared" si="1"/>
        <v>28224</v>
      </c>
      <c r="H32">
        <f t="shared" si="2"/>
        <v>-107520</v>
      </c>
      <c r="I32">
        <f t="shared" si="3"/>
        <v>197120</v>
      </c>
      <c r="J32">
        <f t="shared" ref="J32:J33" si="4">6*J14</f>
        <v>-172032</v>
      </c>
      <c r="K32">
        <f>7*K14</f>
        <v>57344</v>
      </c>
    </row>
    <row r="33" spans="1:13" x14ac:dyDescent="0.25">
      <c r="C33" t="s">
        <v>28</v>
      </c>
      <c r="D33">
        <v>0</v>
      </c>
      <c r="E33">
        <v>-128</v>
      </c>
      <c r="F33">
        <f t="shared" si="0"/>
        <v>5376</v>
      </c>
      <c r="G33">
        <f t="shared" si="1"/>
        <v>-64512</v>
      </c>
      <c r="H33">
        <f t="shared" si="2"/>
        <v>337920</v>
      </c>
      <c r="I33">
        <f t="shared" si="3"/>
        <v>-901120</v>
      </c>
      <c r="J33">
        <f t="shared" si="4"/>
        <v>1277952</v>
      </c>
      <c r="K33">
        <f t="shared" ref="K33:K34" si="5">7*K15</f>
        <v>-917504</v>
      </c>
      <c r="L33">
        <f>8*L15</f>
        <v>262144</v>
      </c>
    </row>
    <row r="34" spans="1:13" x14ac:dyDescent="0.25">
      <c r="C34" t="s">
        <v>29</v>
      </c>
      <c r="D34">
        <v>0</v>
      </c>
      <c r="E34">
        <v>162</v>
      </c>
      <c r="F34">
        <f t="shared" si="0"/>
        <v>-8640</v>
      </c>
      <c r="G34">
        <f>3*G16</f>
        <v>133056</v>
      </c>
      <c r="H34">
        <f>4*H16</f>
        <v>-912384</v>
      </c>
      <c r="I34">
        <f t="shared" si="3"/>
        <v>3294720</v>
      </c>
      <c r="J34">
        <f>6*J16</f>
        <v>-6709248</v>
      </c>
      <c r="K34">
        <f t="shared" si="5"/>
        <v>7741440</v>
      </c>
      <c r="L34">
        <f>8*L16</f>
        <v>-4718592</v>
      </c>
      <c r="M34">
        <f>9*M16</f>
        <v>1179648</v>
      </c>
    </row>
    <row r="36" spans="1:13" x14ac:dyDescent="0.25">
      <c r="A36" t="s">
        <v>35</v>
      </c>
      <c r="B36" t="s">
        <v>40</v>
      </c>
      <c r="C36">
        <f>D27</f>
        <v>0</v>
      </c>
      <c r="D36" t="s">
        <v>41</v>
      </c>
      <c r="E36">
        <f>E27</f>
        <v>-8</v>
      </c>
      <c r="F36" t="s">
        <v>42</v>
      </c>
      <c r="G36">
        <f>F27</f>
        <v>16</v>
      </c>
      <c r="H36" t="s">
        <v>12</v>
      </c>
    </row>
    <row r="39" spans="1:13" x14ac:dyDescent="0.25">
      <c r="A39" t="s">
        <v>32</v>
      </c>
    </row>
    <row r="41" spans="1:13" x14ac:dyDescent="0.25">
      <c r="D41" t="s">
        <v>34</v>
      </c>
    </row>
    <row r="42" spans="1:13" x14ac:dyDescent="0.25">
      <c r="C42" t="s">
        <v>33</v>
      </c>
      <c r="D42" t="s">
        <v>0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</row>
    <row r="43" spans="1:13" x14ac:dyDescent="0.25">
      <c r="B43" t="s">
        <v>1</v>
      </c>
      <c r="D43">
        <v>1</v>
      </c>
    </row>
    <row r="44" spans="1:13" x14ac:dyDescent="0.25">
      <c r="B44" t="s">
        <v>2</v>
      </c>
      <c r="C44">
        <v>2</v>
      </c>
      <c r="D44">
        <v>1</v>
      </c>
      <c r="E44">
        <v>1</v>
      </c>
    </row>
    <row r="45" spans="1:13" x14ac:dyDescent="0.25">
      <c r="B45" t="s">
        <v>12</v>
      </c>
      <c r="C45">
        <v>8</v>
      </c>
      <c r="D45">
        <v>3</v>
      </c>
      <c r="E45">
        <v>4</v>
      </c>
      <c r="F45">
        <v>1</v>
      </c>
    </row>
    <row r="46" spans="1:13" x14ac:dyDescent="0.25">
      <c r="B46" t="s">
        <v>13</v>
      </c>
      <c r="C46">
        <v>32</v>
      </c>
      <c r="D46">
        <v>10</v>
      </c>
      <c r="E46">
        <v>15</v>
      </c>
      <c r="F46">
        <v>6</v>
      </c>
      <c r="G46">
        <v>1</v>
      </c>
    </row>
    <row r="47" spans="1:13" x14ac:dyDescent="0.25">
      <c r="B47" t="s">
        <v>14</v>
      </c>
      <c r="C47">
        <v>128</v>
      </c>
      <c r="D47">
        <v>35</v>
      </c>
      <c r="E47">
        <v>56</v>
      </c>
      <c r="F47">
        <v>28</v>
      </c>
      <c r="G47">
        <v>8</v>
      </c>
      <c r="H47">
        <v>1</v>
      </c>
    </row>
    <row r="48" spans="1:13" x14ac:dyDescent="0.25">
      <c r="B48" t="s">
        <v>15</v>
      </c>
      <c r="C48">
        <v>512</v>
      </c>
      <c r="D48">
        <v>126</v>
      </c>
      <c r="E48">
        <v>210</v>
      </c>
      <c r="F48">
        <v>120</v>
      </c>
      <c r="G48">
        <v>45</v>
      </c>
      <c r="H48">
        <v>10</v>
      </c>
      <c r="I48">
        <v>1</v>
      </c>
    </row>
    <row r="49" spans="1:13" x14ac:dyDescent="0.25">
      <c r="B49" t="s">
        <v>16</v>
      </c>
      <c r="C49">
        <v>2048</v>
      </c>
      <c r="D49">
        <v>462</v>
      </c>
      <c r="E49">
        <v>792</v>
      </c>
      <c r="F49">
        <v>495</v>
      </c>
      <c r="G49">
        <v>220</v>
      </c>
      <c r="H49">
        <v>66</v>
      </c>
      <c r="I49">
        <v>12</v>
      </c>
      <c r="J49">
        <v>1</v>
      </c>
    </row>
    <row r="50" spans="1:13" x14ac:dyDescent="0.25">
      <c r="B50" t="s">
        <v>17</v>
      </c>
      <c r="C50">
        <v>8192</v>
      </c>
      <c r="D50">
        <v>1716</v>
      </c>
      <c r="E50">
        <v>3003</v>
      </c>
      <c r="F50">
        <v>2002</v>
      </c>
      <c r="G50">
        <v>1001</v>
      </c>
      <c r="H50">
        <v>364</v>
      </c>
      <c r="I50">
        <v>91</v>
      </c>
      <c r="J50">
        <v>14</v>
      </c>
      <c r="K50">
        <v>1</v>
      </c>
    </row>
    <row r="51" spans="1:13" x14ac:dyDescent="0.25">
      <c r="B51" t="s">
        <v>18</v>
      </c>
      <c r="C51">
        <v>32768</v>
      </c>
      <c r="D51">
        <v>6435</v>
      </c>
      <c r="E51">
        <v>11440</v>
      </c>
      <c r="F51">
        <v>8008</v>
      </c>
      <c r="G51">
        <v>4368</v>
      </c>
      <c r="H51">
        <v>1820</v>
      </c>
      <c r="I51">
        <v>560</v>
      </c>
      <c r="J51">
        <v>120</v>
      </c>
      <c r="K51">
        <v>16</v>
      </c>
      <c r="L51">
        <v>1</v>
      </c>
    </row>
    <row r="52" spans="1:13" x14ac:dyDescent="0.25">
      <c r="B52" t="s">
        <v>19</v>
      </c>
      <c r="C52">
        <v>131072</v>
      </c>
      <c r="D52">
        <v>24310</v>
      </c>
      <c r="E52">
        <v>43758</v>
      </c>
      <c r="F52">
        <v>31824</v>
      </c>
      <c r="G52">
        <v>18564</v>
      </c>
      <c r="H52">
        <v>8568</v>
      </c>
      <c r="I52">
        <v>3060</v>
      </c>
      <c r="J52">
        <v>816</v>
      </c>
      <c r="K52">
        <v>153</v>
      </c>
      <c r="L52">
        <v>18</v>
      </c>
      <c r="M52">
        <v>1</v>
      </c>
    </row>
    <row r="55" spans="1:13" x14ac:dyDescent="0.25">
      <c r="A55" t="s">
        <v>35</v>
      </c>
      <c r="B55" t="s">
        <v>38</v>
      </c>
      <c r="C55">
        <f>D45/C45</f>
        <v>0.375</v>
      </c>
      <c r="D55" t="s">
        <v>36</v>
      </c>
      <c r="E55">
        <f>E45/C45</f>
        <v>0.5</v>
      </c>
      <c r="F55" t="s">
        <v>37</v>
      </c>
      <c r="G55">
        <f>F45/C45</f>
        <v>0.125</v>
      </c>
      <c r="H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Delic</dc:creator>
  <cp:lastModifiedBy>George Delic</cp:lastModifiedBy>
  <dcterms:created xsi:type="dcterms:W3CDTF">2022-10-25T15:17:11Z</dcterms:created>
  <dcterms:modified xsi:type="dcterms:W3CDTF">2022-10-26T00:12:55Z</dcterms:modified>
</cp:coreProperties>
</file>